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code\THF\grid\"/>
    </mc:Choice>
  </mc:AlternateContent>
  <xr:revisionPtr revIDLastSave="0" documentId="13_ncr:1_{378BD68C-B648-40D2-A560-BEC9B71B8BFA}" xr6:coauthVersionLast="47" xr6:coauthVersionMax="47" xr10:uidLastSave="{00000000-0000-0000-0000-000000000000}"/>
  <bookViews>
    <workbookView xWindow="-108" yWindow="-108" windowWidth="23256" windowHeight="12456" xr2:uid="{9FD4A5F2-01AA-4114-B721-231AFE2A37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8" i="1"/>
  <c r="C5" i="1"/>
  <c r="C6" i="1"/>
  <c r="C7" i="1"/>
  <c r="C4" i="1"/>
  <c r="C9" i="1"/>
  <c r="C10" i="1"/>
  <c r="C11" i="1"/>
  <c r="C8" i="1"/>
  <c r="F24" i="1"/>
  <c r="F21" i="1"/>
  <c r="F22" i="1"/>
  <c r="F23" i="1"/>
  <c r="F20" i="1"/>
  <c r="F19" i="1"/>
  <c r="F18" i="1"/>
  <c r="F17" i="1"/>
  <c r="F16" i="1"/>
  <c r="F13" i="1"/>
</calcChain>
</file>

<file path=xl/sharedStrings.xml><?xml version="1.0" encoding="utf-8"?>
<sst xmlns="http://schemas.openxmlformats.org/spreadsheetml/2006/main" count="59" uniqueCount="55">
  <si>
    <t>Dynamic Motion</t>
  </si>
  <si>
    <t>Gypsum Board</t>
  </si>
  <si>
    <t>Painting</t>
  </si>
  <si>
    <t>Floor Coating</t>
  </si>
  <si>
    <t>MediaPro</t>
  </si>
  <si>
    <t>Start</t>
  </si>
  <si>
    <t>Duration</t>
  </si>
  <si>
    <t>Milestones</t>
  </si>
  <si>
    <t>Day</t>
  </si>
  <si>
    <t>Ocubo</t>
  </si>
  <si>
    <t>Foreman</t>
  </si>
  <si>
    <t>Welding and Grinding</t>
  </si>
  <si>
    <t>Plasterer</t>
  </si>
  <si>
    <t>Styro Installers</t>
  </si>
  <si>
    <t>F&amp;F Laborer</t>
  </si>
  <si>
    <t>Fabrication Laborer</t>
  </si>
  <si>
    <t>Zone 1 Substructure</t>
  </si>
  <si>
    <t>Zone 2 Substructure</t>
  </si>
  <si>
    <t>Zone 1 Gypsum</t>
  </si>
  <si>
    <t>Zone 1 Painting</t>
  </si>
  <si>
    <t>SOFT OPENING!</t>
  </si>
  <si>
    <t>Zone 1 MP Clear</t>
  </si>
  <si>
    <t>Zone 2 MP Clear</t>
  </si>
  <si>
    <t>Zone3 MP Clear</t>
  </si>
  <si>
    <t>Zone 4 MP Clear</t>
  </si>
  <si>
    <t>Zone 2 Gypsum</t>
  </si>
  <si>
    <t>Zone 2 Painting</t>
  </si>
  <si>
    <t>Zone 3 Substructure</t>
  </si>
  <si>
    <t>Zone 3 Gypsum</t>
  </si>
  <si>
    <t>Zone 3 Painting</t>
  </si>
  <si>
    <t>Zone 4 Substructure</t>
  </si>
  <si>
    <t>Zone 4 Gypsum</t>
  </si>
  <si>
    <t>Zone 4 Painting</t>
  </si>
  <si>
    <t>Zone 1 Styro Install</t>
  </si>
  <si>
    <t>Zone 2 Styro Install</t>
  </si>
  <si>
    <t>Zone 3 Styro Install</t>
  </si>
  <si>
    <t>Zone 4 Styro Install</t>
  </si>
  <si>
    <t>Zone 1 Vinyl Install</t>
  </si>
  <si>
    <t>Zone 2 Vinyl Install</t>
  </si>
  <si>
    <t>Zone 3 Vinyl Install</t>
  </si>
  <si>
    <t>Zone 4 Vinyl Install</t>
  </si>
  <si>
    <t>Immersive Room ShowTex</t>
  </si>
  <si>
    <t>Site Wide In-Situ F&amp;F</t>
  </si>
  <si>
    <t>Zone 1 Initial Fit Out</t>
  </si>
  <si>
    <t>Zone 2 Initial Fit Out</t>
  </si>
  <si>
    <t>Zone 3 Initial Fit Out</t>
  </si>
  <si>
    <t>Zone 4 Initial Fit Out</t>
  </si>
  <si>
    <t>Zone 1 AVL (High)</t>
  </si>
  <si>
    <t>Zone 2 AVL (High)</t>
  </si>
  <si>
    <t>Zone 3 AVL (High)</t>
  </si>
  <si>
    <t>Zone 4 AVL (High)</t>
  </si>
  <si>
    <t>Zone 1 AVL (Low)</t>
  </si>
  <si>
    <t>Zone 2 AVL (Low)</t>
  </si>
  <si>
    <t>Zone 3 AVL (Low)</t>
  </si>
  <si>
    <t>Zone 4 AVL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</si>
</sst>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Foreman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Sheet2!$D$4:$AL$4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6-4767-8E58-336D91484C1B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Welding and Grinding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Sheet2!$D$5:$AL$5</c:f>
              <c:numCache>
                <c:formatCode>General</c:formatCode>
                <c:ptCount val="3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767-8E58-336D91484C1B}"/>
            </c:ext>
          </c:extLst>
        </c:ser>
        <c:ser>
          <c:idx val="2"/>
          <c:order val="2"/>
          <c:tx>
            <c:strRef>
              <c:f>Sheet2!$C$6</c:f>
              <c:strCache>
                <c:ptCount val="1"/>
                <c:pt idx="0">
                  <c:v>Gypsum Board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Sheet2!$D$6:$AL$6</c:f>
              <c:numCache>
                <c:formatCode>General</c:formatCode>
                <c:ptCount val="35"/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6-4767-8E58-336D91484C1B}"/>
            </c:ext>
          </c:extLst>
        </c:ser>
        <c:ser>
          <c:idx val="3"/>
          <c:order val="3"/>
          <c:tx>
            <c:strRef>
              <c:f>Sheet2!$C$7</c:f>
              <c:strCache>
                <c:ptCount val="1"/>
                <c:pt idx="0">
                  <c:v>Plasterer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Sheet2!$D$7:$AL$7</c:f>
              <c:numCache>
                <c:formatCode>General</c:formatCode>
                <c:ptCount val="35"/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6-4767-8E58-336D91484C1B}"/>
            </c:ext>
          </c:extLst>
        </c:ser>
        <c:ser>
          <c:idx val="4"/>
          <c:order val="4"/>
          <c:tx>
            <c:strRef>
              <c:f>Sheet2!$C$8</c:f>
              <c:strCache>
                <c:ptCount val="1"/>
                <c:pt idx="0">
                  <c:v>Painting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Sheet2!$D$8:$AL$8</c:f>
              <c:numCache>
                <c:formatCode>General</c:formatCode>
                <c:ptCount val="35"/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6-4767-8E58-336D91484C1B}"/>
            </c:ext>
          </c:extLst>
        </c:ser>
        <c:ser>
          <c:idx val="5"/>
          <c:order val="5"/>
          <c:tx>
            <c:strRef>
              <c:f>Sheet2!$C$9</c:f>
              <c:strCache>
                <c:ptCount val="1"/>
                <c:pt idx="0">
                  <c:v>Styro Installers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Sheet2!$D$9:$AL$9</c:f>
              <c:numCache>
                <c:formatCode>General</c:formatCode>
                <c:ptCount val="35"/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6-4767-8E58-336D91484C1B}"/>
            </c:ext>
          </c:extLst>
        </c:ser>
        <c:ser>
          <c:idx val="6"/>
          <c:order val="6"/>
          <c:tx>
            <c:strRef>
              <c:f>Sheet2!$C$10</c:f>
              <c:strCache>
                <c:ptCount val="1"/>
                <c:pt idx="0">
                  <c:v>Fabrication Laborer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Sheet2!$D$10:$AL$10</c:f>
              <c:numCache>
                <c:formatCode>General</c:formatCode>
                <c:ptCount val="3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6-4767-8E58-336D91484C1B}"/>
            </c:ext>
          </c:extLst>
        </c:ser>
        <c:ser>
          <c:idx val="7"/>
          <c:order val="7"/>
          <c:tx>
            <c:strRef>
              <c:f>Sheet2!$C$11</c:f>
              <c:strCache>
                <c:ptCount val="1"/>
                <c:pt idx="0">
                  <c:v>F&amp;F Laborer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Sheet2!$D$11:$AL$11</c:f>
              <c:numCache>
                <c:formatCode>General</c:formatCode>
                <c:ptCount val="35"/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6-4767-8E58-336D91484C1B}"/>
            </c:ext>
          </c:extLst>
        </c:ser>
        <c:ser>
          <c:idx val="8"/>
          <c:order val="8"/>
          <c:tx>
            <c:strRef>
              <c:f>Sheet2!$C$12</c:f>
              <c:strCache>
                <c:ptCount val="1"/>
                <c:pt idx="0">
                  <c:v>Floor Coating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Sheet2!$D$3:$AL$3</c:f>
              <c:numCache>
                <c:formatCode>d\-mmm</c:formatCode>
                <c:ptCount val="35"/>
                <c:pt idx="0">
                  <c:v>45972</c:v>
                </c:pt>
                <c:pt idx="1">
                  <c:v>45973</c:v>
                </c:pt>
                <c:pt idx="2">
                  <c:v>45974</c:v>
                </c:pt>
                <c:pt idx="3">
                  <c:v>45975</c:v>
                </c:pt>
                <c:pt idx="4">
                  <c:v>45976</c:v>
                </c:pt>
                <c:pt idx="5">
                  <c:v>45977</c:v>
                </c:pt>
                <c:pt idx="6">
                  <c:v>45978</c:v>
                </c:pt>
                <c:pt idx="7">
                  <c:v>45979</c:v>
                </c:pt>
                <c:pt idx="8">
                  <c:v>45980</c:v>
                </c:pt>
                <c:pt idx="9">
                  <c:v>45981</c:v>
                </c:pt>
                <c:pt idx="10">
                  <c:v>45982</c:v>
                </c:pt>
                <c:pt idx="11">
                  <c:v>45983</c:v>
                </c:pt>
                <c:pt idx="12">
                  <c:v>45984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45997</c:v>
                </c:pt>
                <c:pt idx="26">
                  <c:v>45998</c:v>
                </c:pt>
                <c:pt idx="27">
                  <c:v>45999</c:v>
                </c:pt>
                <c:pt idx="28">
                  <c:v>46000</c:v>
                </c:pt>
                <c:pt idx="29">
                  <c:v>46001</c:v>
                </c:pt>
                <c:pt idx="30">
                  <c:v>46002</c:v>
                </c:pt>
                <c:pt idx="31">
                  <c:v>46003</c:v>
                </c:pt>
                <c:pt idx="32">
                  <c:v>46004</c:v>
                </c:pt>
                <c:pt idx="33">
                  <c:v>46005</c:v>
                </c:pt>
                <c:pt idx="34">
                  <c:v>46006</c:v>
                </c:pt>
              </c:numCache>
            </c:numRef>
          </c:cat>
          <c:val>
            <c:numRef>
              <c:f>Sheet2!$D$12:$AL$12</c:f>
              <c:numCache>
                <c:formatCode>General</c:formatCode>
                <c:ptCount val="35"/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C6-4767-8E58-336D9148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346079"/>
        <c:axId val="502345119"/>
        <c:axId val="0"/>
      </c:bar3DChart>
      <c:dateAx>
        <c:axId val="50234607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5119"/>
        <c:crosses val="autoZero"/>
        <c:auto val="1"/>
        <c:lblOffset val="100"/>
        <c:baseTimeUnit val="days"/>
      </c:dateAx>
      <c:valAx>
        <c:axId val="502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18</xdr:row>
      <xdr:rowOff>80010</xdr:rowOff>
    </xdr:from>
    <xdr:to>
      <xdr:col>25</xdr:col>
      <xdr:colOff>297180</xdr:colOff>
      <xdr:row>40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375E8-7B7E-11F1-6B6F-0B9DE50F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ED05-7F3E-44CA-BB64-061DF1DEED91}">
  <dimension ref="B3:O25"/>
  <sheetViews>
    <sheetView tabSelected="1" workbookViewId="0">
      <selection activeCell="G26" sqref="G26"/>
    </sheetView>
  </sheetViews>
  <sheetFormatPr defaultRowHeight="14.4" x14ac:dyDescent="0.3"/>
  <cols>
    <col min="1" max="1" width="8.88671875" style="2"/>
    <col min="2" max="2" width="21.88671875" style="2" customWidth="1"/>
    <col min="3" max="4" width="8.88671875" style="2"/>
    <col min="5" max="5" width="22" style="2" bestFit="1" customWidth="1"/>
    <col min="6" max="6" width="12.77734375" style="2" customWidth="1"/>
    <col min="7" max="7" width="8.88671875" style="2"/>
    <col min="8" max="8" width="9.21875" style="2" customWidth="1"/>
    <col min="9" max="9" width="28.21875" style="2" bestFit="1" customWidth="1"/>
    <col min="10" max="12" width="8.88671875" style="2"/>
    <col min="13" max="13" width="20.6640625" style="2" bestFit="1" customWidth="1"/>
    <col min="14" max="16384" width="8.88671875" style="2"/>
  </cols>
  <sheetData>
    <row r="3" spans="2:15" s="1" customFormat="1" x14ac:dyDescent="0.3">
      <c r="B3" s="1" t="s">
        <v>7</v>
      </c>
      <c r="C3" s="1" t="s">
        <v>8</v>
      </c>
      <c r="E3" s="1" t="s">
        <v>0</v>
      </c>
      <c r="F3" s="1" t="s">
        <v>5</v>
      </c>
      <c r="G3" s="1" t="s">
        <v>6</v>
      </c>
      <c r="I3" s="1" t="s">
        <v>4</v>
      </c>
      <c r="J3" s="1" t="s">
        <v>5</v>
      </c>
      <c r="K3" s="1" t="s">
        <v>6</v>
      </c>
      <c r="M3" s="1" t="s">
        <v>9</v>
      </c>
      <c r="N3" s="1" t="s">
        <v>5</v>
      </c>
      <c r="O3" s="1" t="s">
        <v>6</v>
      </c>
    </row>
    <row r="4" spans="2:15" x14ac:dyDescent="0.3">
      <c r="B4" s="2" t="s">
        <v>21</v>
      </c>
      <c r="C4" s="3">
        <f>J4+K4-1</f>
        <v>45997</v>
      </c>
      <c r="E4" s="2" t="s">
        <v>16</v>
      </c>
      <c r="F4" s="3">
        <v>46002</v>
      </c>
      <c r="G4" s="2">
        <v>2</v>
      </c>
      <c r="I4" s="2" t="s">
        <v>47</v>
      </c>
      <c r="J4" s="3">
        <v>45995</v>
      </c>
      <c r="K4" s="2">
        <v>3</v>
      </c>
      <c r="N4" s="3"/>
    </row>
    <row r="5" spans="2:15" x14ac:dyDescent="0.3">
      <c r="B5" s="2" t="s">
        <v>22</v>
      </c>
      <c r="C5" s="3">
        <f t="shared" ref="C5:C7" si="0">J5+K5-1</f>
        <v>45999</v>
      </c>
      <c r="E5" s="2" t="s">
        <v>18</v>
      </c>
      <c r="F5" s="3">
        <v>46003</v>
      </c>
      <c r="G5" s="2">
        <v>2</v>
      </c>
      <c r="I5" s="2" t="s">
        <v>48</v>
      </c>
      <c r="J5" s="3">
        <v>45997</v>
      </c>
      <c r="K5" s="2">
        <v>3</v>
      </c>
      <c r="N5" s="3"/>
    </row>
    <row r="6" spans="2:15" x14ac:dyDescent="0.3">
      <c r="B6" s="2" t="s">
        <v>23</v>
      </c>
      <c r="C6" s="3">
        <f t="shared" si="0"/>
        <v>46001</v>
      </c>
      <c r="E6" s="2" t="s">
        <v>19</v>
      </c>
      <c r="F6" s="3">
        <v>46004</v>
      </c>
      <c r="G6" s="2">
        <v>1</v>
      </c>
      <c r="I6" s="2" t="s">
        <v>49</v>
      </c>
      <c r="J6" s="3">
        <v>45999</v>
      </c>
      <c r="K6" s="2">
        <v>3</v>
      </c>
      <c r="N6" s="3"/>
    </row>
    <row r="7" spans="2:15" x14ac:dyDescent="0.3">
      <c r="B7" s="2" t="s">
        <v>24</v>
      </c>
      <c r="C7" s="3">
        <f t="shared" si="0"/>
        <v>46003</v>
      </c>
      <c r="E7" s="2" t="s">
        <v>17</v>
      </c>
      <c r="F7" s="3">
        <v>46002</v>
      </c>
      <c r="G7" s="2">
        <v>2</v>
      </c>
      <c r="I7" s="2" t="s">
        <v>50</v>
      </c>
      <c r="J7" s="3">
        <v>46001</v>
      </c>
      <c r="K7" s="2">
        <v>3</v>
      </c>
    </row>
    <row r="8" spans="2:15" x14ac:dyDescent="0.3">
      <c r="B8" s="2" t="s">
        <v>43</v>
      </c>
      <c r="C8" s="3">
        <f>F20+G20-1</f>
        <v>46007</v>
      </c>
      <c r="E8" s="2" t="s">
        <v>25</v>
      </c>
      <c r="F8" s="3">
        <v>46003</v>
      </c>
      <c r="G8" s="2">
        <v>2</v>
      </c>
      <c r="I8" s="2" t="s">
        <v>51</v>
      </c>
      <c r="J8" s="3">
        <f>F20+1</f>
        <v>46007</v>
      </c>
      <c r="K8" s="2">
        <v>2</v>
      </c>
    </row>
    <row r="9" spans="2:15" x14ac:dyDescent="0.3">
      <c r="B9" s="2" t="s">
        <v>44</v>
      </c>
      <c r="C9" s="3">
        <f t="shared" ref="C9:C11" si="1">F21+G21-1</f>
        <v>46007</v>
      </c>
      <c r="E9" s="2" t="s">
        <v>26</v>
      </c>
      <c r="F9" s="3">
        <v>46004</v>
      </c>
      <c r="G9" s="2">
        <v>1</v>
      </c>
      <c r="I9" s="2" t="s">
        <v>52</v>
      </c>
      <c r="J9" s="3">
        <f t="shared" ref="J9:J11" si="2">F21+1</f>
        <v>46007</v>
      </c>
      <c r="K9" s="2">
        <v>2</v>
      </c>
    </row>
    <row r="10" spans="2:15" x14ac:dyDescent="0.3">
      <c r="B10" s="2" t="s">
        <v>45</v>
      </c>
      <c r="C10" s="3">
        <f t="shared" si="1"/>
        <v>46007</v>
      </c>
      <c r="E10" s="2" t="s">
        <v>27</v>
      </c>
      <c r="F10" s="3">
        <v>46002</v>
      </c>
      <c r="G10" s="2">
        <v>2</v>
      </c>
      <c r="I10" s="2" t="s">
        <v>53</v>
      </c>
      <c r="J10" s="3">
        <f t="shared" si="2"/>
        <v>46007</v>
      </c>
      <c r="K10" s="2">
        <v>2</v>
      </c>
    </row>
    <row r="11" spans="2:15" x14ac:dyDescent="0.3">
      <c r="B11" s="2" t="s">
        <v>46</v>
      </c>
      <c r="C11" s="3">
        <f t="shared" si="1"/>
        <v>46009</v>
      </c>
      <c r="E11" s="2" t="s">
        <v>28</v>
      </c>
      <c r="F11" s="3">
        <v>46003</v>
      </c>
      <c r="G11" s="2">
        <v>2</v>
      </c>
      <c r="I11" s="2" t="s">
        <v>54</v>
      </c>
      <c r="J11" s="3">
        <f t="shared" si="2"/>
        <v>46009</v>
      </c>
      <c r="K11" s="2">
        <v>2</v>
      </c>
    </row>
    <row r="12" spans="2:15" x14ac:dyDescent="0.3">
      <c r="E12" s="2" t="s">
        <v>29</v>
      </c>
      <c r="F12" s="3">
        <v>46004</v>
      </c>
      <c r="G12" s="2">
        <v>1</v>
      </c>
    </row>
    <row r="13" spans="2:15" x14ac:dyDescent="0.3">
      <c r="E13" s="2" t="s">
        <v>30</v>
      </c>
      <c r="F13" s="3">
        <f>C7</f>
        <v>46003</v>
      </c>
      <c r="G13" s="2">
        <v>2</v>
      </c>
    </row>
    <row r="14" spans="2:15" x14ac:dyDescent="0.3">
      <c r="E14" s="2" t="s">
        <v>31</v>
      </c>
      <c r="F14" s="3">
        <v>46005</v>
      </c>
      <c r="G14" s="2">
        <v>2</v>
      </c>
    </row>
    <row r="15" spans="2:15" x14ac:dyDescent="0.3">
      <c r="B15" s="2" t="s">
        <v>20</v>
      </c>
      <c r="C15" s="3">
        <v>46011</v>
      </c>
      <c r="E15" s="2" t="s">
        <v>32</v>
      </c>
      <c r="F15" s="3">
        <v>46006</v>
      </c>
      <c r="G15" s="2">
        <v>1</v>
      </c>
    </row>
    <row r="16" spans="2:15" x14ac:dyDescent="0.3">
      <c r="E16" s="2" t="s">
        <v>37</v>
      </c>
      <c r="F16" s="3">
        <f>F6+G6</f>
        <v>46005</v>
      </c>
      <c r="G16" s="2">
        <v>1</v>
      </c>
    </row>
    <row r="17" spans="5:7" x14ac:dyDescent="0.3">
      <c r="E17" s="2" t="s">
        <v>38</v>
      </c>
      <c r="F17" s="3">
        <f>F9+G9</f>
        <v>46005</v>
      </c>
      <c r="G17" s="2">
        <v>1</v>
      </c>
    </row>
    <row r="18" spans="5:7" x14ac:dyDescent="0.3">
      <c r="E18" s="2" t="s">
        <v>39</v>
      </c>
      <c r="F18" s="3">
        <f>F12+G12</f>
        <v>46005</v>
      </c>
      <c r="G18" s="2">
        <v>1</v>
      </c>
    </row>
    <row r="19" spans="5:7" x14ac:dyDescent="0.3">
      <c r="E19" s="2" t="s">
        <v>40</v>
      </c>
      <c r="F19" s="3">
        <f>F15+G15</f>
        <v>46007</v>
      </c>
      <c r="G19" s="2">
        <v>1</v>
      </c>
    </row>
    <row r="20" spans="5:7" x14ac:dyDescent="0.3">
      <c r="E20" s="2" t="s">
        <v>33</v>
      </c>
      <c r="F20" s="3">
        <f>F16+G16</f>
        <v>46006</v>
      </c>
      <c r="G20" s="2">
        <v>2</v>
      </c>
    </row>
    <row r="21" spans="5:7" x14ac:dyDescent="0.3">
      <c r="E21" s="2" t="s">
        <v>34</v>
      </c>
      <c r="F21" s="3">
        <f t="shared" ref="F21:F23" si="3">F17+G17</f>
        <v>46006</v>
      </c>
      <c r="G21" s="2">
        <v>2</v>
      </c>
    </row>
    <row r="22" spans="5:7" x14ac:dyDescent="0.3">
      <c r="E22" s="2" t="s">
        <v>35</v>
      </c>
      <c r="F22" s="3">
        <f t="shared" si="3"/>
        <v>46006</v>
      </c>
      <c r="G22" s="2">
        <v>2</v>
      </c>
    </row>
    <row r="23" spans="5:7" x14ac:dyDescent="0.3">
      <c r="E23" s="2" t="s">
        <v>36</v>
      </c>
      <c r="F23" s="3">
        <f t="shared" si="3"/>
        <v>46008</v>
      </c>
      <c r="G23" s="2">
        <v>2</v>
      </c>
    </row>
    <row r="24" spans="5:7" x14ac:dyDescent="0.3">
      <c r="E24" s="2" t="s">
        <v>42</v>
      </c>
      <c r="F24" s="3">
        <f>F20</f>
        <v>46006</v>
      </c>
      <c r="G24" s="2">
        <v>6</v>
      </c>
    </row>
    <row r="25" spans="5:7" x14ac:dyDescent="0.3">
      <c r="E25" s="2" t="s">
        <v>41</v>
      </c>
      <c r="F25" s="3">
        <v>46004</v>
      </c>
      <c r="G25" s="2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7AD-B68D-4A68-B426-FDC1F7AFA770}">
  <dimension ref="C3:AL16"/>
  <sheetViews>
    <sheetView workbookViewId="0">
      <selection activeCell="AB37" sqref="AB37"/>
    </sheetView>
  </sheetViews>
  <sheetFormatPr defaultRowHeight="14.4" x14ac:dyDescent="0.3"/>
  <cols>
    <col min="1" max="2" width="8.88671875" style="2"/>
    <col min="3" max="3" width="18.109375" style="2" bestFit="1" customWidth="1"/>
    <col min="4" max="38" width="6.6640625" style="2" customWidth="1"/>
    <col min="39" max="16384" width="8.88671875" style="2"/>
  </cols>
  <sheetData>
    <row r="3" spans="3:38" x14ac:dyDescent="0.3">
      <c r="C3" s="10"/>
      <c r="D3" s="4">
        <v>45972</v>
      </c>
      <c r="E3" s="4">
        <v>45973</v>
      </c>
      <c r="F3" s="4">
        <v>45974</v>
      </c>
      <c r="G3" s="5">
        <v>45975</v>
      </c>
      <c r="H3" s="5">
        <v>45976</v>
      </c>
      <c r="I3" s="4">
        <v>45977</v>
      </c>
      <c r="J3" s="4">
        <v>45978</v>
      </c>
      <c r="K3" s="4">
        <v>45979</v>
      </c>
      <c r="L3" s="4">
        <v>45980</v>
      </c>
      <c r="M3" s="4">
        <v>45981</v>
      </c>
      <c r="N3" s="5">
        <v>45982</v>
      </c>
      <c r="O3" s="5">
        <v>45983</v>
      </c>
      <c r="P3" s="4">
        <v>45984</v>
      </c>
      <c r="Q3" s="4">
        <v>45985</v>
      </c>
      <c r="R3" s="4">
        <v>45986</v>
      </c>
      <c r="S3" s="4">
        <v>45987</v>
      </c>
      <c r="T3" s="4">
        <v>45988</v>
      </c>
      <c r="U3" s="5">
        <v>45989</v>
      </c>
      <c r="V3" s="5">
        <v>45990</v>
      </c>
      <c r="W3" s="4">
        <v>45991</v>
      </c>
      <c r="X3" s="6">
        <v>45992</v>
      </c>
      <c r="Y3" s="6">
        <v>45993</v>
      </c>
      <c r="Z3" s="6">
        <v>45994</v>
      </c>
      <c r="AA3" s="6">
        <v>45995</v>
      </c>
      <c r="AB3" s="5">
        <v>45996</v>
      </c>
      <c r="AC3" s="5">
        <v>45997</v>
      </c>
      <c r="AD3" s="6">
        <v>45998</v>
      </c>
      <c r="AE3" s="6">
        <v>45999</v>
      </c>
      <c r="AF3" s="6">
        <v>46000</v>
      </c>
      <c r="AG3" s="6">
        <v>46001</v>
      </c>
      <c r="AH3" s="6">
        <v>46002</v>
      </c>
      <c r="AI3" s="5">
        <v>46003</v>
      </c>
      <c r="AJ3" s="5">
        <v>46004</v>
      </c>
      <c r="AK3" s="6">
        <v>46005</v>
      </c>
      <c r="AL3" s="6">
        <v>46006</v>
      </c>
    </row>
    <row r="4" spans="3:38" x14ac:dyDescent="0.3">
      <c r="C4" s="10" t="s">
        <v>10</v>
      </c>
      <c r="D4" s="7">
        <v>2</v>
      </c>
      <c r="E4" s="7">
        <v>2</v>
      </c>
      <c r="F4" s="7">
        <v>2</v>
      </c>
      <c r="G4" s="8">
        <v>2</v>
      </c>
      <c r="H4" s="8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8">
        <v>4</v>
      </c>
      <c r="O4" s="8">
        <v>5</v>
      </c>
      <c r="P4" s="7">
        <v>6</v>
      </c>
      <c r="Q4" s="7">
        <v>6</v>
      </c>
      <c r="R4" s="7">
        <v>6</v>
      </c>
      <c r="S4" s="7">
        <v>7</v>
      </c>
      <c r="T4" s="7">
        <v>7</v>
      </c>
      <c r="U4" s="8">
        <v>5</v>
      </c>
      <c r="V4" s="8">
        <v>5</v>
      </c>
      <c r="W4" s="7">
        <v>5</v>
      </c>
      <c r="X4" s="9">
        <v>4</v>
      </c>
      <c r="Y4" s="9">
        <v>4</v>
      </c>
      <c r="Z4" s="9">
        <v>4</v>
      </c>
      <c r="AA4" s="9">
        <v>4</v>
      </c>
      <c r="AB4" s="8">
        <v>4</v>
      </c>
      <c r="AC4" s="8">
        <v>4</v>
      </c>
      <c r="AD4" s="9">
        <v>4</v>
      </c>
      <c r="AE4" s="9">
        <v>4</v>
      </c>
      <c r="AF4" s="9">
        <v>2</v>
      </c>
      <c r="AG4" s="9">
        <v>2</v>
      </c>
      <c r="AH4" s="9">
        <v>2</v>
      </c>
      <c r="AI4" s="8">
        <v>2</v>
      </c>
      <c r="AJ4" s="8">
        <v>2</v>
      </c>
      <c r="AK4" s="9">
        <v>2</v>
      </c>
      <c r="AL4" s="9">
        <v>2</v>
      </c>
    </row>
    <row r="5" spans="3:38" x14ac:dyDescent="0.3">
      <c r="C5" s="10" t="s">
        <v>11</v>
      </c>
      <c r="D5" s="7">
        <v>4</v>
      </c>
      <c r="E5" s="7">
        <v>4</v>
      </c>
      <c r="F5" s="7">
        <v>4</v>
      </c>
      <c r="G5" s="8">
        <v>4</v>
      </c>
      <c r="H5" s="8">
        <v>4</v>
      </c>
      <c r="I5" s="7">
        <v>4</v>
      </c>
      <c r="J5" s="7">
        <v>4</v>
      </c>
      <c r="K5" s="7">
        <v>4</v>
      </c>
      <c r="L5" s="7">
        <v>4</v>
      </c>
      <c r="M5" s="7">
        <v>4</v>
      </c>
      <c r="N5" s="8">
        <v>4</v>
      </c>
      <c r="O5" s="8">
        <v>4</v>
      </c>
      <c r="P5" s="7"/>
      <c r="Q5" s="7"/>
      <c r="R5" s="7"/>
      <c r="S5" s="7"/>
      <c r="T5" s="7"/>
      <c r="U5" s="8"/>
      <c r="V5" s="8"/>
      <c r="W5" s="7"/>
      <c r="X5" s="9"/>
      <c r="Y5" s="9"/>
      <c r="Z5" s="9"/>
      <c r="AA5" s="9"/>
      <c r="AB5" s="8"/>
      <c r="AC5" s="8"/>
      <c r="AD5" s="9"/>
      <c r="AE5" s="9"/>
      <c r="AF5" s="9"/>
      <c r="AG5" s="9"/>
      <c r="AH5" s="9"/>
      <c r="AI5" s="8"/>
      <c r="AJ5" s="8"/>
      <c r="AK5" s="9"/>
      <c r="AL5" s="9"/>
    </row>
    <row r="6" spans="3:38" x14ac:dyDescent="0.3">
      <c r="C6" s="10" t="s">
        <v>1</v>
      </c>
      <c r="D6" s="7"/>
      <c r="E6" s="7"/>
      <c r="F6" s="7"/>
      <c r="G6" s="8"/>
      <c r="H6" s="8"/>
      <c r="I6" s="7"/>
      <c r="J6" s="7"/>
      <c r="K6" s="7"/>
      <c r="L6" s="7"/>
      <c r="M6" s="7"/>
      <c r="N6" s="8">
        <v>10</v>
      </c>
      <c r="O6" s="8">
        <v>10</v>
      </c>
      <c r="P6" s="7">
        <v>10</v>
      </c>
      <c r="Q6" s="7">
        <v>10</v>
      </c>
      <c r="R6" s="7">
        <v>10</v>
      </c>
      <c r="S6" s="7">
        <v>10</v>
      </c>
      <c r="T6" s="7">
        <v>10</v>
      </c>
      <c r="U6" s="8"/>
      <c r="V6" s="8"/>
      <c r="W6" s="7"/>
      <c r="X6" s="9"/>
      <c r="Y6" s="9"/>
      <c r="Z6" s="9"/>
      <c r="AA6" s="9"/>
      <c r="AB6" s="8"/>
      <c r="AC6" s="8"/>
      <c r="AD6" s="9"/>
      <c r="AE6" s="9"/>
      <c r="AF6" s="9"/>
      <c r="AG6" s="9"/>
      <c r="AH6" s="9"/>
      <c r="AI6" s="8"/>
      <c r="AJ6" s="8"/>
      <c r="AK6" s="9"/>
      <c r="AL6" s="9"/>
    </row>
    <row r="7" spans="3:38" x14ac:dyDescent="0.3">
      <c r="C7" s="10" t="s">
        <v>12</v>
      </c>
      <c r="D7" s="7"/>
      <c r="E7" s="7"/>
      <c r="F7" s="7"/>
      <c r="G7" s="8"/>
      <c r="H7" s="8"/>
      <c r="I7" s="7"/>
      <c r="J7" s="7"/>
      <c r="K7" s="7"/>
      <c r="L7" s="7"/>
      <c r="M7" s="7"/>
      <c r="N7" s="8"/>
      <c r="O7" s="8">
        <v>8</v>
      </c>
      <c r="P7" s="7">
        <v>8</v>
      </c>
      <c r="Q7" s="7">
        <v>8</v>
      </c>
      <c r="R7" s="7">
        <v>8</v>
      </c>
      <c r="S7" s="7">
        <v>8</v>
      </c>
      <c r="T7" s="7">
        <v>8</v>
      </c>
      <c r="U7" s="8">
        <v>8</v>
      </c>
      <c r="V7" s="8"/>
      <c r="W7" s="7"/>
      <c r="X7" s="9"/>
      <c r="Y7" s="9"/>
      <c r="Z7" s="9"/>
      <c r="AA7" s="9"/>
      <c r="AB7" s="8"/>
      <c r="AC7" s="8"/>
      <c r="AD7" s="9"/>
      <c r="AE7" s="9"/>
      <c r="AF7" s="9"/>
      <c r="AG7" s="9"/>
      <c r="AH7" s="9"/>
      <c r="AI7" s="8"/>
      <c r="AJ7" s="8"/>
      <c r="AK7" s="9"/>
      <c r="AL7" s="9"/>
    </row>
    <row r="8" spans="3:38" x14ac:dyDescent="0.3">
      <c r="C8" s="10" t="s">
        <v>2</v>
      </c>
      <c r="D8" s="7"/>
      <c r="E8" s="7"/>
      <c r="F8" s="7"/>
      <c r="G8" s="8"/>
      <c r="H8" s="8"/>
      <c r="I8" s="7"/>
      <c r="J8" s="7"/>
      <c r="K8" s="7"/>
      <c r="L8" s="7"/>
      <c r="M8" s="7"/>
      <c r="N8" s="8"/>
      <c r="O8" s="8"/>
      <c r="P8" s="7">
        <v>6</v>
      </c>
      <c r="Q8" s="7">
        <v>6</v>
      </c>
      <c r="R8" s="7">
        <v>6</v>
      </c>
      <c r="S8" s="7">
        <v>6</v>
      </c>
      <c r="T8" s="7">
        <v>6</v>
      </c>
      <c r="U8" s="8">
        <v>6</v>
      </c>
      <c r="V8" s="8">
        <v>6</v>
      </c>
      <c r="W8" s="7"/>
      <c r="X8" s="9"/>
      <c r="Y8" s="9"/>
      <c r="Z8" s="9"/>
      <c r="AA8" s="9"/>
      <c r="AB8" s="8"/>
      <c r="AC8" s="8"/>
      <c r="AD8" s="9"/>
      <c r="AE8" s="9"/>
      <c r="AF8" s="9"/>
      <c r="AG8" s="9"/>
      <c r="AH8" s="9"/>
      <c r="AI8" s="8"/>
      <c r="AJ8" s="8"/>
      <c r="AK8" s="9"/>
      <c r="AL8" s="9"/>
    </row>
    <row r="9" spans="3:38" x14ac:dyDescent="0.3">
      <c r="C9" s="10" t="s">
        <v>13</v>
      </c>
      <c r="D9" s="7"/>
      <c r="E9" s="7"/>
      <c r="F9" s="7"/>
      <c r="G9" s="8"/>
      <c r="H9" s="8"/>
      <c r="I9" s="7"/>
      <c r="J9" s="7"/>
      <c r="K9" s="7"/>
      <c r="L9" s="7"/>
      <c r="M9" s="7"/>
      <c r="N9" s="8"/>
      <c r="O9" s="8"/>
      <c r="P9" s="7"/>
      <c r="Q9" s="7"/>
      <c r="R9" s="7"/>
      <c r="S9" s="7"/>
      <c r="T9" s="7"/>
      <c r="U9" s="8"/>
      <c r="V9" s="8">
        <v>10</v>
      </c>
      <c r="W9" s="7">
        <v>10</v>
      </c>
      <c r="X9" s="9">
        <v>10</v>
      </c>
      <c r="Y9" s="9">
        <v>10</v>
      </c>
      <c r="Z9" s="9">
        <v>10</v>
      </c>
      <c r="AA9" s="9">
        <v>10</v>
      </c>
      <c r="AB9" s="8">
        <v>10</v>
      </c>
      <c r="AC9" s="8">
        <v>10</v>
      </c>
      <c r="AD9" s="9">
        <v>10</v>
      </c>
      <c r="AE9" s="9">
        <v>10</v>
      </c>
      <c r="AF9" s="9"/>
      <c r="AG9" s="9"/>
      <c r="AH9" s="9"/>
      <c r="AI9" s="8"/>
      <c r="AJ9" s="8"/>
      <c r="AK9" s="9"/>
      <c r="AL9" s="9"/>
    </row>
    <row r="10" spans="3:38" x14ac:dyDescent="0.3">
      <c r="C10" s="10" t="s">
        <v>15</v>
      </c>
      <c r="D10" s="7">
        <v>12</v>
      </c>
      <c r="E10" s="7">
        <v>12</v>
      </c>
      <c r="F10" s="7">
        <v>12</v>
      </c>
      <c r="G10" s="8">
        <v>12</v>
      </c>
      <c r="H10" s="8">
        <v>12</v>
      </c>
      <c r="I10" s="7">
        <v>12</v>
      </c>
      <c r="J10" s="7">
        <v>12</v>
      </c>
      <c r="K10" s="7">
        <v>12</v>
      </c>
      <c r="L10" s="7">
        <v>12</v>
      </c>
      <c r="M10" s="7">
        <v>12</v>
      </c>
      <c r="N10" s="8">
        <v>12</v>
      </c>
      <c r="O10" s="8">
        <v>12</v>
      </c>
      <c r="P10" s="7"/>
      <c r="Q10" s="7"/>
      <c r="R10" s="7"/>
      <c r="S10" s="7"/>
      <c r="T10" s="7"/>
      <c r="U10" s="8"/>
      <c r="V10" s="8"/>
      <c r="W10" s="7"/>
      <c r="X10" s="9"/>
      <c r="Y10" s="9"/>
      <c r="Z10" s="9"/>
      <c r="AA10" s="9"/>
      <c r="AB10" s="8"/>
      <c r="AC10" s="8"/>
      <c r="AD10" s="9"/>
      <c r="AE10" s="9"/>
      <c r="AF10" s="9"/>
      <c r="AG10" s="9"/>
      <c r="AH10" s="9"/>
      <c r="AI10" s="8"/>
      <c r="AJ10" s="8"/>
      <c r="AK10" s="9"/>
      <c r="AL10" s="9"/>
    </row>
    <row r="11" spans="3:38" x14ac:dyDescent="0.3">
      <c r="C11" s="10" t="s">
        <v>14</v>
      </c>
      <c r="D11" s="7"/>
      <c r="E11" s="7"/>
      <c r="F11" s="7"/>
      <c r="G11" s="8"/>
      <c r="H11" s="8"/>
      <c r="I11" s="7"/>
      <c r="J11" s="7"/>
      <c r="K11" s="7"/>
      <c r="L11" s="7"/>
      <c r="M11" s="7"/>
      <c r="N11" s="8"/>
      <c r="O11" s="8"/>
      <c r="P11" s="7"/>
      <c r="Q11" s="7"/>
      <c r="R11" s="7"/>
      <c r="S11" s="7"/>
      <c r="T11" s="7"/>
      <c r="U11" s="8"/>
      <c r="V11" s="8"/>
      <c r="W11" s="7">
        <v>6</v>
      </c>
      <c r="X11" s="9">
        <v>6</v>
      </c>
      <c r="Y11" s="9">
        <v>6</v>
      </c>
      <c r="Z11" s="9">
        <v>6</v>
      </c>
      <c r="AA11" s="9">
        <v>6</v>
      </c>
      <c r="AB11" s="8">
        <v>6</v>
      </c>
      <c r="AC11" s="8">
        <v>6</v>
      </c>
      <c r="AD11" s="9">
        <v>6</v>
      </c>
      <c r="AE11" s="9">
        <v>6</v>
      </c>
      <c r="AF11" s="9">
        <v>6</v>
      </c>
      <c r="AG11" s="9">
        <v>6</v>
      </c>
      <c r="AH11" s="9">
        <v>6</v>
      </c>
      <c r="AI11" s="8">
        <v>6</v>
      </c>
      <c r="AJ11" s="8">
        <v>6</v>
      </c>
      <c r="AK11" s="9">
        <v>6</v>
      </c>
      <c r="AL11" s="9">
        <v>6</v>
      </c>
    </row>
    <row r="12" spans="3:38" x14ac:dyDescent="0.3">
      <c r="C12" s="10" t="s">
        <v>3</v>
      </c>
      <c r="D12" s="7"/>
      <c r="E12" s="7"/>
      <c r="F12" s="7"/>
      <c r="G12" s="8"/>
      <c r="H12" s="8"/>
      <c r="I12" s="7"/>
      <c r="J12" s="7"/>
      <c r="K12" s="7"/>
      <c r="L12" s="7"/>
      <c r="M12" s="7"/>
      <c r="N12" s="8"/>
      <c r="O12" s="8"/>
      <c r="P12" s="7"/>
      <c r="Q12" s="7"/>
      <c r="R12" s="7"/>
      <c r="S12" s="7">
        <v>4</v>
      </c>
      <c r="T12" s="7">
        <v>4</v>
      </c>
      <c r="U12" s="8">
        <v>4</v>
      </c>
      <c r="V12" s="8">
        <v>4</v>
      </c>
      <c r="W12" s="7">
        <v>4</v>
      </c>
      <c r="X12" s="9"/>
      <c r="Y12" s="9"/>
      <c r="Z12" s="9"/>
      <c r="AA12" s="9"/>
      <c r="AB12" s="8"/>
      <c r="AC12" s="8"/>
      <c r="AD12" s="9"/>
      <c r="AE12" s="9"/>
      <c r="AF12" s="9"/>
      <c r="AG12" s="9"/>
      <c r="AH12" s="9"/>
      <c r="AI12" s="8"/>
      <c r="AJ12" s="8"/>
      <c r="AK12" s="9"/>
      <c r="AL12" s="9"/>
    </row>
    <row r="13" spans="3:38" x14ac:dyDescent="0.3">
      <c r="C13" s="10"/>
      <c r="D13" s="7"/>
      <c r="E13" s="7"/>
      <c r="F13" s="7"/>
      <c r="G13" s="8"/>
      <c r="H13" s="8"/>
      <c r="I13" s="7"/>
      <c r="J13" s="7"/>
      <c r="K13" s="7"/>
      <c r="L13" s="7"/>
      <c r="M13" s="7"/>
      <c r="N13" s="8"/>
      <c r="O13" s="8"/>
      <c r="P13" s="7"/>
      <c r="Q13" s="7"/>
      <c r="R13" s="7"/>
      <c r="S13" s="7"/>
      <c r="T13" s="7"/>
      <c r="U13" s="8"/>
      <c r="V13" s="8"/>
      <c r="W13" s="7"/>
      <c r="X13" s="9"/>
      <c r="Y13" s="9"/>
      <c r="Z13" s="9"/>
      <c r="AA13" s="9"/>
      <c r="AB13" s="8"/>
      <c r="AC13" s="8"/>
      <c r="AD13" s="9"/>
      <c r="AE13" s="9"/>
      <c r="AF13" s="9"/>
      <c r="AG13" s="9"/>
      <c r="AH13" s="9"/>
      <c r="AI13" s="8"/>
      <c r="AJ13" s="8"/>
      <c r="AK13" s="9"/>
      <c r="AL13" s="9"/>
    </row>
    <row r="14" spans="3:38" x14ac:dyDescent="0.3">
      <c r="C14" s="10"/>
      <c r="D14" s="7"/>
      <c r="E14" s="7"/>
      <c r="F14" s="7"/>
      <c r="G14" s="8"/>
      <c r="H14" s="8"/>
      <c r="I14" s="7"/>
      <c r="J14" s="7"/>
      <c r="K14" s="7"/>
      <c r="L14" s="7"/>
      <c r="M14" s="7"/>
      <c r="N14" s="8"/>
      <c r="O14" s="8"/>
      <c r="P14" s="7"/>
      <c r="Q14" s="7"/>
      <c r="R14" s="7"/>
      <c r="S14" s="7"/>
      <c r="T14" s="7"/>
      <c r="U14" s="8"/>
      <c r="V14" s="8"/>
      <c r="W14" s="7"/>
      <c r="X14" s="9"/>
      <c r="Y14" s="9"/>
      <c r="Z14" s="9"/>
      <c r="AA14" s="9"/>
      <c r="AB14" s="8"/>
      <c r="AC14" s="8"/>
      <c r="AD14" s="9"/>
      <c r="AE14" s="9"/>
      <c r="AF14" s="9"/>
      <c r="AG14" s="9"/>
      <c r="AH14" s="9"/>
      <c r="AI14" s="8"/>
      <c r="AJ14" s="8"/>
      <c r="AK14" s="9"/>
      <c r="AL14" s="9"/>
    </row>
    <row r="15" spans="3:38" x14ac:dyDescent="0.3">
      <c r="C15" s="10"/>
      <c r="D15" s="7"/>
      <c r="E15" s="7"/>
      <c r="F15" s="7"/>
      <c r="G15" s="8"/>
      <c r="H15" s="8"/>
      <c r="I15" s="7"/>
      <c r="J15" s="7"/>
      <c r="K15" s="7"/>
      <c r="L15" s="7"/>
      <c r="M15" s="7"/>
      <c r="N15" s="8"/>
      <c r="O15" s="8"/>
      <c r="P15" s="7"/>
      <c r="Q15" s="7"/>
      <c r="R15" s="7"/>
      <c r="S15" s="7"/>
      <c r="T15" s="7"/>
      <c r="U15" s="8"/>
      <c r="V15" s="8"/>
      <c r="W15" s="7"/>
      <c r="X15" s="9"/>
      <c r="Y15" s="9"/>
      <c r="Z15" s="9"/>
      <c r="AA15" s="9"/>
      <c r="AB15" s="8"/>
      <c r="AC15" s="8"/>
      <c r="AD15" s="9"/>
      <c r="AE15" s="9"/>
      <c r="AF15" s="9"/>
      <c r="AG15" s="9"/>
      <c r="AH15" s="9"/>
      <c r="AI15" s="8"/>
      <c r="AJ15" s="8"/>
      <c r="AK15" s="9"/>
      <c r="AL15" s="9"/>
    </row>
    <row r="16" spans="3:38" x14ac:dyDescent="0.3">
      <c r="C16" s="10"/>
      <c r="D16" s="7"/>
      <c r="E16" s="7"/>
      <c r="F16" s="7"/>
      <c r="G16" s="8"/>
      <c r="H16" s="8"/>
      <c r="I16" s="7"/>
      <c r="J16" s="7"/>
      <c r="K16" s="7"/>
      <c r="L16" s="7"/>
      <c r="M16" s="7"/>
      <c r="N16" s="8"/>
      <c r="O16" s="8"/>
      <c r="P16" s="7"/>
      <c r="Q16" s="7"/>
      <c r="R16" s="7"/>
      <c r="S16" s="7"/>
      <c r="T16" s="7"/>
      <c r="U16" s="8"/>
      <c r="V16" s="8"/>
      <c r="W16" s="7"/>
      <c r="X16" s="9"/>
      <c r="Y16" s="9"/>
      <c r="Z16" s="9"/>
      <c r="AA16" s="9"/>
      <c r="AB16" s="8"/>
      <c r="AC16" s="8"/>
      <c r="AD16" s="9"/>
      <c r="AE16" s="9"/>
      <c r="AF16" s="9"/>
      <c r="AG16" s="9"/>
      <c r="AH16" s="9"/>
      <c r="AI16" s="8"/>
      <c r="AJ16" s="8"/>
      <c r="AK16" s="9"/>
      <c r="AL1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Pursglove</dc:creator>
  <cp:lastModifiedBy>Ashley Pursglove</cp:lastModifiedBy>
  <dcterms:created xsi:type="dcterms:W3CDTF">2025-11-16T10:37:36Z</dcterms:created>
  <dcterms:modified xsi:type="dcterms:W3CDTF">2025-12-05T10:00:45Z</dcterms:modified>
</cp:coreProperties>
</file>