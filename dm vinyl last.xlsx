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code\THF\THF_Planner\"/>
    </mc:Choice>
  </mc:AlternateContent>
  <xr:revisionPtr revIDLastSave="0" documentId="13_ncr:1_{9DE475DB-0356-4692-B485-FC8F98253E05}" xr6:coauthVersionLast="47" xr6:coauthVersionMax="47" xr10:uidLastSave="{00000000-0000-0000-0000-000000000000}"/>
  <bookViews>
    <workbookView xWindow="-108" yWindow="-108" windowWidth="23256" windowHeight="12456" activeTab="1" xr2:uid="{9FD4A5F2-01AA-4114-B721-231AFE2A37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17" i="1"/>
  <c r="F18" i="1"/>
  <c r="F19" i="1"/>
  <c r="F16" i="1"/>
  <c r="F23" i="1"/>
  <c r="F22" i="1"/>
  <c r="J10" i="1" s="1"/>
  <c r="F21" i="1"/>
  <c r="F20" i="1"/>
  <c r="C12" i="1"/>
  <c r="J9" i="1"/>
  <c r="J11" i="1"/>
  <c r="J8" i="1"/>
  <c r="C5" i="1"/>
  <c r="C6" i="1"/>
  <c r="C7" i="1"/>
  <c r="C4" i="1"/>
  <c r="C9" i="1"/>
  <c r="C10" i="1"/>
  <c r="C11" i="1"/>
  <c r="F24" i="1"/>
  <c r="F13" i="1"/>
</calcChain>
</file>

<file path=xl/sharedStrings.xml><?xml version="1.0" encoding="utf-8"?>
<sst xmlns="http://schemas.openxmlformats.org/spreadsheetml/2006/main" count="60" uniqueCount="56">
  <si>
    <t>Dynamic Motion</t>
  </si>
  <si>
    <t>Painting</t>
  </si>
  <si>
    <t>MediaPro</t>
  </si>
  <si>
    <t>Start</t>
  </si>
  <si>
    <t>Duration</t>
  </si>
  <si>
    <t>Milestones</t>
  </si>
  <si>
    <t>Day</t>
  </si>
  <si>
    <t>Ocubo</t>
  </si>
  <si>
    <t>Foreman</t>
  </si>
  <si>
    <t>Styro Installers</t>
  </si>
  <si>
    <t>F&amp;F Laborer</t>
  </si>
  <si>
    <t>Fabrication Laborer</t>
  </si>
  <si>
    <t>Zone 1 Substructure</t>
  </si>
  <si>
    <t>Zone 2 Substructure</t>
  </si>
  <si>
    <t>Zone 1 Gypsum</t>
  </si>
  <si>
    <t>Zone 1 Painting</t>
  </si>
  <si>
    <t>SOFT OPENING!</t>
  </si>
  <si>
    <t>Zone 1 MP Clear</t>
  </si>
  <si>
    <t>Zone 2 MP Clear</t>
  </si>
  <si>
    <t>Zone3 MP Clear</t>
  </si>
  <si>
    <t>Zone 4 MP Clear</t>
  </si>
  <si>
    <t>Zone 2 Gypsum</t>
  </si>
  <si>
    <t>Zone 2 Painting</t>
  </si>
  <si>
    <t>Zone 3 Substructure</t>
  </si>
  <si>
    <t>Zone 3 Gypsum</t>
  </si>
  <si>
    <t>Zone 3 Painting</t>
  </si>
  <si>
    <t>Zone 4 Substructure</t>
  </si>
  <si>
    <t>Zone 4 Gypsum</t>
  </si>
  <si>
    <t>Zone 4 Painting</t>
  </si>
  <si>
    <t>Zone 1 Styro Install</t>
  </si>
  <si>
    <t>Zone 2 Styro Install</t>
  </si>
  <si>
    <t>Zone 3 Styro Install</t>
  </si>
  <si>
    <t>Zone 4 Styro Install</t>
  </si>
  <si>
    <t>Zone 1 Vinyl Install</t>
  </si>
  <si>
    <t>Zone 2 Vinyl Install</t>
  </si>
  <si>
    <t>Zone 3 Vinyl Install</t>
  </si>
  <si>
    <t>Zone 4 Vinyl Install</t>
  </si>
  <si>
    <t>Immersive Room ShowTex</t>
  </si>
  <si>
    <t>Site Wide In-Situ F&amp;F</t>
  </si>
  <si>
    <t>Zone 1 Initial Fit Out</t>
  </si>
  <si>
    <t>Zone 2 Initial Fit Out</t>
  </si>
  <si>
    <t>Zone 3 Initial Fit Out</t>
  </si>
  <si>
    <t>Zone 4 Initial Fit Out</t>
  </si>
  <si>
    <t>Zone 1 AVL (High)</t>
  </si>
  <si>
    <t>Zone 2 AVL (High)</t>
  </si>
  <si>
    <t>Zone 3 AVL (High)</t>
  </si>
  <si>
    <t>Zone 4 AVL (High)</t>
  </si>
  <si>
    <t>Zone 1 AVL (Low)</t>
  </si>
  <si>
    <t>Zone 2 AVL (Low)</t>
  </si>
  <si>
    <t>Zone 3 AVL (Low)</t>
  </si>
  <si>
    <t>Zone 4 AVL (Low)</t>
  </si>
  <si>
    <t>Structure &amp; Metal</t>
  </si>
  <si>
    <t>Gypsum Board/Plaster</t>
  </si>
  <si>
    <t>Vinyl</t>
  </si>
  <si>
    <t>Artists</t>
  </si>
  <si>
    <t>Artistry Fixups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</si>
</sst>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AED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DFB"/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Foreman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Sheet2!$D$4:$T$4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6-4767-8E58-336D91484C1B}"/>
            </c:ext>
          </c:extLst>
        </c:ser>
        <c:ser>
          <c:idx val="1"/>
          <c:order val="1"/>
          <c:tx>
            <c:strRef>
              <c:f>Sheet2!$C$5</c:f>
              <c:strCache>
                <c:ptCount val="1"/>
                <c:pt idx="0">
                  <c:v>Structure &amp; 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Sheet2!$D$5:$T$5</c:f>
              <c:numCache>
                <c:formatCode>General</c:formatCode>
                <c:ptCount val="17"/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6-4767-8E58-336D91484C1B}"/>
            </c:ext>
          </c:extLst>
        </c:ser>
        <c:ser>
          <c:idx val="2"/>
          <c:order val="2"/>
          <c:tx>
            <c:strRef>
              <c:f>Sheet2!$C$6</c:f>
              <c:strCache>
                <c:ptCount val="1"/>
                <c:pt idx="0">
                  <c:v>Gypsum Board/Plaster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Sheet2!$D$6:$T$6</c:f>
              <c:numCache>
                <c:formatCode>General</c:formatCode>
                <c:ptCount val="17"/>
                <c:pt idx="8">
                  <c:v>10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6-4767-8E58-336D91484C1B}"/>
            </c:ext>
          </c:extLst>
        </c:ser>
        <c:ser>
          <c:idx val="3"/>
          <c:order val="3"/>
          <c:tx>
            <c:strRef>
              <c:f>Sheet2!$C$7</c:f>
              <c:strCache>
                <c:ptCount val="1"/>
                <c:pt idx="0">
                  <c:v>Painting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Sheet2!$D$7:$T$7</c:f>
              <c:numCache>
                <c:formatCode>General</c:formatCode>
                <c:ptCount val="17"/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6-4767-8E58-336D91484C1B}"/>
            </c:ext>
          </c:extLst>
        </c:ser>
        <c:ser>
          <c:idx val="4"/>
          <c:order val="4"/>
          <c:tx>
            <c:strRef>
              <c:f>Sheet2!$C$8</c:f>
              <c:strCache>
                <c:ptCount val="1"/>
                <c:pt idx="0">
                  <c:v>Vinyl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Sheet2!$D$8:$T$8</c:f>
              <c:numCache>
                <c:formatCode>General</c:formatCode>
                <c:ptCount val="17"/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6-4767-8E58-336D91484C1B}"/>
            </c:ext>
          </c:extLst>
        </c:ser>
        <c:ser>
          <c:idx val="5"/>
          <c:order val="5"/>
          <c:tx>
            <c:strRef>
              <c:f>Sheet2!$C$9</c:f>
              <c:strCache>
                <c:ptCount val="1"/>
                <c:pt idx="0">
                  <c:v>Styro Installers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Sheet2!$D$9:$T$9</c:f>
              <c:numCache>
                <c:formatCode>General</c:formatCode>
                <c:ptCount val="17"/>
                <c:pt idx="10">
                  <c:v>15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C6-4767-8E58-336D91484C1B}"/>
            </c:ext>
          </c:extLst>
        </c:ser>
        <c:ser>
          <c:idx val="6"/>
          <c:order val="6"/>
          <c:tx>
            <c:strRef>
              <c:f>Sheet2!$C$10</c:f>
              <c:strCache>
                <c:ptCount val="1"/>
                <c:pt idx="0">
                  <c:v>Fabrication Laborer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Sheet2!$D$10:$T$10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6-15C6-4767-8E58-336D91484C1B}"/>
            </c:ext>
          </c:extLst>
        </c:ser>
        <c:ser>
          <c:idx val="7"/>
          <c:order val="7"/>
          <c:tx>
            <c:strRef>
              <c:f>Sheet2!$C$11</c:f>
              <c:strCache>
                <c:ptCount val="1"/>
                <c:pt idx="0">
                  <c:v>F&amp;F Laborer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Sheet2!$D$11:$T$11</c:f>
              <c:numCache>
                <c:formatCode>General</c:formatCode>
                <c:ptCount val="17"/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C6-4767-8E58-336D91484C1B}"/>
            </c:ext>
          </c:extLst>
        </c:ser>
        <c:ser>
          <c:idx val="8"/>
          <c:order val="8"/>
          <c:tx>
            <c:strRef>
              <c:f>Sheet2!$C$12</c:f>
              <c:strCache>
                <c:ptCount val="1"/>
                <c:pt idx="0">
                  <c:v>Artists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Sheet2!$D$12:$T$12</c:f>
              <c:numCache>
                <c:formatCode>General</c:formatCode>
                <c:ptCount val="17"/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C6-4767-8E58-336D91484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2346079"/>
        <c:axId val="502345119"/>
        <c:axId val="0"/>
      </c:bar3DChart>
      <c:dateAx>
        <c:axId val="50234607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5119"/>
        <c:crosses val="autoZero"/>
        <c:auto val="1"/>
        <c:lblOffset val="100"/>
        <c:baseTimeUnit val="days"/>
      </c:dateAx>
      <c:valAx>
        <c:axId val="5023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19</xdr:row>
      <xdr:rowOff>7620</xdr:rowOff>
    </xdr:from>
    <xdr:to>
      <xdr:col>15</xdr:col>
      <xdr:colOff>472440</xdr:colOff>
      <xdr:row>40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375E8-7B7E-11F1-6B6F-0B9DE50FB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ED05-7F3E-44CA-BB64-061DF1DEED91}">
  <dimension ref="B3:O25"/>
  <sheetViews>
    <sheetView workbookViewId="0">
      <selection activeCell="M18" sqref="M18"/>
    </sheetView>
  </sheetViews>
  <sheetFormatPr defaultRowHeight="14.4" x14ac:dyDescent="0.3"/>
  <cols>
    <col min="1" max="1" width="8.88671875" style="2"/>
    <col min="2" max="2" width="21.88671875" style="2" customWidth="1"/>
    <col min="3" max="4" width="8.88671875" style="2"/>
    <col min="5" max="5" width="22" style="2" bestFit="1" customWidth="1"/>
    <col min="6" max="6" width="12.77734375" style="2" customWidth="1"/>
    <col min="7" max="7" width="8.88671875" style="2"/>
    <col min="8" max="8" width="9.21875" style="2" customWidth="1"/>
    <col min="9" max="9" width="28.21875" style="2" bestFit="1" customWidth="1"/>
    <col min="10" max="12" width="8.88671875" style="2"/>
    <col min="13" max="13" width="20.6640625" style="2" bestFit="1" customWidth="1"/>
    <col min="14" max="16384" width="8.88671875" style="2"/>
  </cols>
  <sheetData>
    <row r="3" spans="2:15" s="1" customFormat="1" x14ac:dyDescent="0.3">
      <c r="B3" s="1" t="s">
        <v>5</v>
      </c>
      <c r="C3" s="1" t="s">
        <v>6</v>
      </c>
      <c r="E3" s="1" t="s">
        <v>0</v>
      </c>
      <c r="F3" s="1" t="s">
        <v>3</v>
      </c>
      <c r="G3" s="1" t="s">
        <v>4</v>
      </c>
      <c r="I3" s="1" t="s">
        <v>2</v>
      </c>
      <c r="J3" s="1" t="s">
        <v>3</v>
      </c>
      <c r="K3" s="1" t="s">
        <v>4</v>
      </c>
      <c r="M3" s="1" t="s">
        <v>7</v>
      </c>
      <c r="N3" s="1" t="s">
        <v>3</v>
      </c>
      <c r="O3" s="1" t="s">
        <v>4</v>
      </c>
    </row>
    <row r="4" spans="2:15" x14ac:dyDescent="0.3">
      <c r="B4" s="2" t="s">
        <v>17</v>
      </c>
      <c r="C4" s="3">
        <f>J4+K4-1</f>
        <v>45997</v>
      </c>
      <c r="E4" s="2" t="s">
        <v>12</v>
      </c>
      <c r="F4" s="3">
        <v>46002</v>
      </c>
      <c r="G4" s="2">
        <v>2</v>
      </c>
      <c r="I4" s="2" t="s">
        <v>43</v>
      </c>
      <c r="J4" s="3">
        <v>45995</v>
      </c>
      <c r="K4" s="2">
        <v>3</v>
      </c>
      <c r="N4" s="3"/>
    </row>
    <row r="5" spans="2:15" x14ac:dyDescent="0.3">
      <c r="B5" s="2" t="s">
        <v>18</v>
      </c>
      <c r="C5" s="3">
        <f t="shared" ref="C5:C7" si="0">J5+K5-1</f>
        <v>45999</v>
      </c>
      <c r="E5" s="2" t="s">
        <v>14</v>
      </c>
      <c r="F5" s="3">
        <v>46003</v>
      </c>
      <c r="G5" s="2">
        <v>2</v>
      </c>
      <c r="I5" s="2" t="s">
        <v>44</v>
      </c>
      <c r="J5" s="3">
        <v>45997</v>
      </c>
      <c r="K5" s="2">
        <v>3</v>
      </c>
      <c r="N5" s="3"/>
    </row>
    <row r="6" spans="2:15" x14ac:dyDescent="0.3">
      <c r="B6" s="2" t="s">
        <v>19</v>
      </c>
      <c r="C6" s="3">
        <f t="shared" si="0"/>
        <v>46001</v>
      </c>
      <c r="E6" s="2" t="s">
        <v>15</v>
      </c>
      <c r="F6" s="3">
        <v>46004</v>
      </c>
      <c r="G6" s="2">
        <v>1</v>
      </c>
      <c r="I6" s="2" t="s">
        <v>45</v>
      </c>
      <c r="J6" s="3">
        <v>45999</v>
      </c>
      <c r="K6" s="2">
        <v>3</v>
      </c>
      <c r="N6" s="3"/>
    </row>
    <row r="7" spans="2:15" x14ac:dyDescent="0.3">
      <c r="B7" s="2" t="s">
        <v>20</v>
      </c>
      <c r="C7" s="3">
        <f t="shared" si="0"/>
        <v>46003</v>
      </c>
      <c r="E7" s="2" t="s">
        <v>13</v>
      </c>
      <c r="F7" s="3">
        <v>46002</v>
      </c>
      <c r="G7" s="2">
        <v>2</v>
      </c>
      <c r="I7" s="2" t="s">
        <v>46</v>
      </c>
      <c r="J7" s="3">
        <v>46001</v>
      </c>
      <c r="K7" s="2">
        <v>3</v>
      </c>
    </row>
    <row r="8" spans="2:15" x14ac:dyDescent="0.3">
      <c r="B8" s="2" t="s">
        <v>39</v>
      </c>
      <c r="C8" s="3">
        <f>F20+G20-1</f>
        <v>46006</v>
      </c>
      <c r="E8" s="2" t="s">
        <v>21</v>
      </c>
      <c r="F8" s="3">
        <v>46003</v>
      </c>
      <c r="G8" s="2">
        <v>2</v>
      </c>
      <c r="I8" s="2" t="s">
        <v>47</v>
      </c>
      <c r="J8" s="3">
        <f>F20+1</f>
        <v>46006</v>
      </c>
      <c r="K8" s="2">
        <v>2</v>
      </c>
    </row>
    <row r="9" spans="2:15" x14ac:dyDescent="0.3">
      <c r="B9" s="2" t="s">
        <v>40</v>
      </c>
      <c r="C9" s="3">
        <f t="shared" ref="C9:C11" si="1">F21+G21-1</f>
        <v>46006</v>
      </c>
      <c r="E9" s="2" t="s">
        <v>22</v>
      </c>
      <c r="F9" s="3">
        <v>46004</v>
      </c>
      <c r="G9" s="2">
        <v>1</v>
      </c>
      <c r="I9" s="2" t="s">
        <v>48</v>
      </c>
      <c r="J9" s="3">
        <f t="shared" ref="J9:J11" si="2">F21+1</f>
        <v>46006</v>
      </c>
      <c r="K9" s="2">
        <v>2</v>
      </c>
    </row>
    <row r="10" spans="2:15" x14ac:dyDescent="0.3">
      <c r="B10" s="2" t="s">
        <v>41</v>
      </c>
      <c r="C10" s="3">
        <f t="shared" si="1"/>
        <v>46006</v>
      </c>
      <c r="E10" s="2" t="s">
        <v>23</v>
      </c>
      <c r="F10" s="3">
        <v>46002</v>
      </c>
      <c r="G10" s="2">
        <v>2</v>
      </c>
      <c r="I10" s="2" t="s">
        <v>49</v>
      </c>
      <c r="J10" s="3">
        <f t="shared" si="2"/>
        <v>46006</v>
      </c>
      <c r="K10" s="2">
        <v>2</v>
      </c>
    </row>
    <row r="11" spans="2:15" x14ac:dyDescent="0.3">
      <c r="B11" s="2" t="s">
        <v>42</v>
      </c>
      <c r="C11" s="3">
        <f t="shared" si="1"/>
        <v>46008</v>
      </c>
      <c r="E11" s="2" t="s">
        <v>24</v>
      </c>
      <c r="F11" s="3">
        <v>46003</v>
      </c>
      <c r="G11" s="2">
        <v>2</v>
      </c>
      <c r="I11" s="2" t="s">
        <v>50</v>
      </c>
      <c r="J11" s="3">
        <f t="shared" si="2"/>
        <v>46008</v>
      </c>
      <c r="K11" s="2">
        <v>2</v>
      </c>
    </row>
    <row r="12" spans="2:15" x14ac:dyDescent="0.3">
      <c r="B12" s="2" t="s">
        <v>55</v>
      </c>
      <c r="C12" s="3">
        <f>F20</f>
        <v>46005</v>
      </c>
      <c r="E12" s="2" t="s">
        <v>25</v>
      </c>
      <c r="F12" s="3">
        <v>46004</v>
      </c>
      <c r="G12" s="2">
        <v>1</v>
      </c>
    </row>
    <row r="13" spans="2:15" x14ac:dyDescent="0.3">
      <c r="E13" s="2" t="s">
        <v>26</v>
      </c>
      <c r="F13" s="3">
        <f>C7</f>
        <v>46003</v>
      </c>
      <c r="G13" s="2">
        <v>2</v>
      </c>
    </row>
    <row r="14" spans="2:15" x14ac:dyDescent="0.3">
      <c r="E14" s="2" t="s">
        <v>27</v>
      </c>
      <c r="F14" s="3">
        <v>46005</v>
      </c>
      <c r="G14" s="2">
        <v>2</v>
      </c>
    </row>
    <row r="15" spans="2:15" x14ac:dyDescent="0.3">
      <c r="B15" s="2" t="s">
        <v>16</v>
      </c>
      <c r="C15" s="3">
        <v>46011</v>
      </c>
      <c r="E15" s="2" t="s">
        <v>28</v>
      </c>
      <c r="F15" s="3">
        <v>46006</v>
      </c>
      <c r="G15" s="2">
        <v>1</v>
      </c>
    </row>
    <row r="16" spans="2:15" x14ac:dyDescent="0.3">
      <c r="E16" s="2" t="s">
        <v>33</v>
      </c>
      <c r="F16" s="3">
        <f>F20+G20</f>
        <v>46007</v>
      </c>
      <c r="G16" s="2">
        <v>1</v>
      </c>
    </row>
    <row r="17" spans="5:7" x14ac:dyDescent="0.3">
      <c r="E17" s="2" t="s">
        <v>34</v>
      </c>
      <c r="F17" s="3">
        <f t="shared" ref="F17:F19" si="3">F21+G21</f>
        <v>46007</v>
      </c>
      <c r="G17" s="2">
        <v>1</v>
      </c>
    </row>
    <row r="18" spans="5:7" x14ac:dyDescent="0.3">
      <c r="E18" s="2" t="s">
        <v>35</v>
      </c>
      <c r="F18" s="3">
        <f t="shared" si="3"/>
        <v>46007</v>
      </c>
      <c r="G18" s="2">
        <v>1</v>
      </c>
    </row>
    <row r="19" spans="5:7" x14ac:dyDescent="0.3">
      <c r="E19" s="2" t="s">
        <v>36</v>
      </c>
      <c r="F19" s="3">
        <f t="shared" si="3"/>
        <v>46009</v>
      </c>
      <c r="G19" s="2">
        <v>1</v>
      </c>
    </row>
    <row r="20" spans="5:7" x14ac:dyDescent="0.3">
      <c r="E20" s="2" t="s">
        <v>29</v>
      </c>
      <c r="F20" s="3">
        <f>F6+G6</f>
        <v>46005</v>
      </c>
      <c r="G20" s="2">
        <v>2</v>
      </c>
    </row>
    <row r="21" spans="5:7" x14ac:dyDescent="0.3">
      <c r="E21" s="2" t="s">
        <v>30</v>
      </c>
      <c r="F21" s="3">
        <f>F9+G9</f>
        <v>46005</v>
      </c>
      <c r="G21" s="2">
        <v>2</v>
      </c>
    </row>
    <row r="22" spans="5:7" x14ac:dyDescent="0.3">
      <c r="E22" s="2" t="s">
        <v>31</v>
      </c>
      <c r="F22" s="3">
        <f>F12+G12</f>
        <v>46005</v>
      </c>
      <c r="G22" s="2">
        <v>2</v>
      </c>
    </row>
    <row r="23" spans="5:7" x14ac:dyDescent="0.3">
      <c r="E23" s="2" t="s">
        <v>32</v>
      </c>
      <c r="F23" s="3">
        <f>F15+G15</f>
        <v>46007</v>
      </c>
      <c r="G23" s="2">
        <v>2</v>
      </c>
    </row>
    <row r="24" spans="5:7" x14ac:dyDescent="0.3">
      <c r="E24" s="2" t="s">
        <v>38</v>
      </c>
      <c r="F24" s="3">
        <f>F20</f>
        <v>46005</v>
      </c>
      <c r="G24" s="2">
        <v>7</v>
      </c>
    </row>
    <row r="25" spans="5:7" x14ac:dyDescent="0.3">
      <c r="E25" s="2" t="s">
        <v>37</v>
      </c>
      <c r="F25" s="3">
        <v>46004</v>
      </c>
      <c r="G25" s="2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E7AD-B68D-4A68-B426-FDC1F7AFA770}">
  <dimension ref="C3:T16"/>
  <sheetViews>
    <sheetView tabSelected="1" workbookViewId="0">
      <selection activeCell="W13" sqref="W13"/>
    </sheetView>
  </sheetViews>
  <sheetFormatPr defaultRowHeight="14.4" x14ac:dyDescent="0.3"/>
  <cols>
    <col min="1" max="2" width="8.88671875" style="2"/>
    <col min="3" max="3" width="19.88671875" style="2" bestFit="1" customWidth="1"/>
    <col min="4" max="15" width="6.6640625" style="2" customWidth="1"/>
    <col min="16" max="16384" width="8.88671875" style="2"/>
  </cols>
  <sheetData>
    <row r="3" spans="3:20" x14ac:dyDescent="0.3">
      <c r="C3" s="8"/>
      <c r="D3" s="5">
        <v>45995</v>
      </c>
      <c r="E3" s="4">
        <v>45996</v>
      </c>
      <c r="F3" s="4">
        <v>45997</v>
      </c>
      <c r="G3" s="5">
        <v>45998</v>
      </c>
      <c r="H3" s="5">
        <v>45999</v>
      </c>
      <c r="I3" s="5">
        <v>46000</v>
      </c>
      <c r="J3" s="5">
        <v>46001</v>
      </c>
      <c r="K3" s="5">
        <v>46002</v>
      </c>
      <c r="L3" s="4">
        <v>46003</v>
      </c>
      <c r="M3" s="4">
        <v>46004</v>
      </c>
      <c r="N3" s="5">
        <v>46005</v>
      </c>
      <c r="O3" s="5">
        <v>46006</v>
      </c>
      <c r="P3" s="5">
        <v>46007</v>
      </c>
      <c r="Q3" s="5">
        <v>46008</v>
      </c>
      <c r="R3" s="5">
        <v>46009</v>
      </c>
      <c r="S3" s="4">
        <v>46010</v>
      </c>
      <c r="T3" s="4">
        <v>46011</v>
      </c>
    </row>
    <row r="4" spans="3:20" x14ac:dyDescent="0.3">
      <c r="C4" s="8" t="s">
        <v>8</v>
      </c>
      <c r="D4" s="7">
        <v>1</v>
      </c>
      <c r="E4" s="6">
        <v>1</v>
      </c>
      <c r="F4" s="6">
        <v>1</v>
      </c>
      <c r="G4" s="7">
        <v>1</v>
      </c>
      <c r="H4" s="7">
        <v>1</v>
      </c>
      <c r="I4" s="7">
        <v>1</v>
      </c>
      <c r="J4" s="7">
        <v>1</v>
      </c>
      <c r="K4" s="7">
        <v>2</v>
      </c>
      <c r="L4" s="6">
        <v>2</v>
      </c>
      <c r="M4" s="6">
        <v>3</v>
      </c>
      <c r="N4" s="10">
        <v>4</v>
      </c>
      <c r="O4" s="10">
        <v>6</v>
      </c>
      <c r="P4" s="10">
        <v>6</v>
      </c>
      <c r="Q4" s="10">
        <v>6</v>
      </c>
      <c r="R4" s="10">
        <v>4</v>
      </c>
      <c r="S4" s="6">
        <v>4</v>
      </c>
      <c r="T4" s="6">
        <v>4</v>
      </c>
    </row>
    <row r="5" spans="3:20" x14ac:dyDescent="0.3">
      <c r="C5" s="8" t="s">
        <v>51</v>
      </c>
      <c r="D5" s="7"/>
      <c r="E5" s="6"/>
      <c r="F5" s="6"/>
      <c r="G5" s="7"/>
      <c r="H5" s="7"/>
      <c r="I5" s="7"/>
      <c r="J5" s="7"/>
      <c r="K5" s="7">
        <v>20</v>
      </c>
      <c r="L5" s="6">
        <v>20</v>
      </c>
      <c r="M5" s="9">
        <v>20</v>
      </c>
      <c r="N5" s="10">
        <v>20</v>
      </c>
      <c r="O5" s="10">
        <v>10</v>
      </c>
      <c r="P5" s="10">
        <v>10</v>
      </c>
      <c r="Q5" s="10">
        <v>10</v>
      </c>
      <c r="R5" s="10">
        <v>10</v>
      </c>
      <c r="S5" s="10">
        <v>10</v>
      </c>
      <c r="T5" s="10">
        <v>10</v>
      </c>
    </row>
    <row r="6" spans="3:20" x14ac:dyDescent="0.3">
      <c r="C6" s="8" t="s">
        <v>52</v>
      </c>
      <c r="D6" s="7"/>
      <c r="E6" s="6"/>
      <c r="F6" s="6"/>
      <c r="G6" s="7"/>
      <c r="H6" s="7"/>
      <c r="I6" s="7"/>
      <c r="J6" s="7"/>
      <c r="K6" s="7"/>
      <c r="L6" s="6">
        <v>10</v>
      </c>
      <c r="M6" s="6">
        <v>15</v>
      </c>
      <c r="N6" s="10">
        <v>15</v>
      </c>
      <c r="O6" s="10">
        <v>15</v>
      </c>
      <c r="P6" s="10"/>
      <c r="Q6" s="10"/>
      <c r="R6" s="10"/>
      <c r="S6" s="6"/>
      <c r="T6" s="6"/>
    </row>
    <row r="7" spans="3:20" x14ac:dyDescent="0.3">
      <c r="C7" s="8" t="s">
        <v>1</v>
      </c>
      <c r="D7" s="7"/>
      <c r="E7" s="6"/>
      <c r="F7" s="6"/>
      <c r="G7" s="7"/>
      <c r="H7" s="7"/>
      <c r="I7" s="7"/>
      <c r="J7" s="7"/>
      <c r="K7" s="7"/>
      <c r="L7" s="6"/>
      <c r="M7" s="6">
        <v>5</v>
      </c>
      <c r="N7" s="10">
        <v>5</v>
      </c>
      <c r="O7" s="10">
        <v>5</v>
      </c>
      <c r="P7" s="10">
        <v>5</v>
      </c>
      <c r="Q7" s="10"/>
      <c r="R7" s="10"/>
      <c r="S7" s="6"/>
      <c r="T7" s="6"/>
    </row>
    <row r="8" spans="3:20" x14ac:dyDescent="0.3">
      <c r="C8" s="8" t="s">
        <v>53</v>
      </c>
      <c r="D8" s="7"/>
      <c r="E8" s="6"/>
      <c r="F8" s="6"/>
      <c r="G8" s="7"/>
      <c r="H8" s="7"/>
      <c r="I8" s="7"/>
      <c r="J8" s="7"/>
      <c r="K8" s="7"/>
      <c r="L8" s="6"/>
      <c r="M8" s="6"/>
      <c r="N8" s="10"/>
      <c r="O8" s="10"/>
      <c r="P8" s="10">
        <v>10</v>
      </c>
      <c r="Q8" s="10">
        <v>10</v>
      </c>
      <c r="R8" s="10">
        <v>10</v>
      </c>
      <c r="S8" s="6">
        <v>6</v>
      </c>
      <c r="T8" s="6"/>
    </row>
    <row r="9" spans="3:20" x14ac:dyDescent="0.3">
      <c r="C9" s="8" t="s">
        <v>9</v>
      </c>
      <c r="D9" s="7"/>
      <c r="E9" s="6"/>
      <c r="F9" s="6"/>
      <c r="G9" s="7"/>
      <c r="H9" s="7"/>
      <c r="I9" s="7"/>
      <c r="J9" s="7"/>
      <c r="K9" s="7"/>
      <c r="L9" s="6"/>
      <c r="M9" s="6"/>
      <c r="N9" s="10">
        <v>15</v>
      </c>
      <c r="O9" s="10">
        <v>20</v>
      </c>
      <c r="P9" s="10">
        <v>20</v>
      </c>
      <c r="Q9" s="10">
        <v>20</v>
      </c>
      <c r="R9" s="10">
        <v>20</v>
      </c>
      <c r="S9" s="6">
        <v>5</v>
      </c>
      <c r="T9" s="6"/>
    </row>
    <row r="10" spans="3:20" x14ac:dyDescent="0.3">
      <c r="C10" s="8" t="s">
        <v>11</v>
      </c>
      <c r="D10" s="7"/>
      <c r="E10" s="6"/>
      <c r="F10" s="6"/>
      <c r="G10" s="7"/>
      <c r="H10" s="7"/>
      <c r="I10" s="7"/>
      <c r="J10" s="7"/>
      <c r="K10" s="7"/>
      <c r="L10" s="6"/>
      <c r="M10" s="6"/>
      <c r="N10" s="10"/>
      <c r="O10" s="10"/>
      <c r="P10" s="10"/>
      <c r="Q10" s="10"/>
      <c r="R10" s="10"/>
      <c r="S10" s="6"/>
      <c r="T10" s="6"/>
    </row>
    <row r="11" spans="3:20" x14ac:dyDescent="0.3">
      <c r="C11" s="8" t="s">
        <v>10</v>
      </c>
      <c r="D11" s="7"/>
      <c r="E11" s="6"/>
      <c r="F11" s="6"/>
      <c r="G11" s="7"/>
      <c r="H11" s="7"/>
      <c r="I11" s="7"/>
      <c r="J11" s="7"/>
      <c r="K11" s="7"/>
      <c r="L11" s="6"/>
      <c r="M11" s="6"/>
      <c r="N11" s="7"/>
      <c r="O11" s="7">
        <v>6</v>
      </c>
      <c r="P11" s="7">
        <v>6</v>
      </c>
      <c r="Q11" s="7">
        <v>6</v>
      </c>
      <c r="R11" s="7">
        <v>6</v>
      </c>
      <c r="S11" s="6">
        <v>6</v>
      </c>
      <c r="T11" s="6">
        <v>6</v>
      </c>
    </row>
    <row r="12" spans="3:20" x14ac:dyDescent="0.3">
      <c r="C12" s="8" t="s">
        <v>54</v>
      </c>
      <c r="D12" s="7"/>
      <c r="E12" s="6"/>
      <c r="F12" s="6"/>
      <c r="G12" s="7"/>
      <c r="H12" s="7"/>
      <c r="I12" s="7"/>
      <c r="J12" s="7"/>
      <c r="K12" s="7"/>
      <c r="L12" s="6"/>
      <c r="M12" s="6"/>
      <c r="N12" s="7"/>
      <c r="O12" s="7">
        <v>6</v>
      </c>
      <c r="P12" s="7">
        <v>6</v>
      </c>
      <c r="Q12" s="7">
        <v>6</v>
      </c>
      <c r="R12" s="7">
        <v>6</v>
      </c>
      <c r="S12" s="6">
        <v>6</v>
      </c>
      <c r="T12" s="6">
        <v>6</v>
      </c>
    </row>
    <row r="13" spans="3:20" x14ac:dyDescent="0.3">
      <c r="C13" s="8"/>
      <c r="D13" s="7"/>
      <c r="E13" s="6"/>
      <c r="F13" s="6"/>
      <c r="G13" s="7"/>
      <c r="H13" s="7"/>
      <c r="I13" s="7"/>
      <c r="J13" s="7"/>
      <c r="K13" s="7"/>
      <c r="L13" s="6"/>
      <c r="M13" s="9"/>
      <c r="N13" s="7"/>
      <c r="O13" s="7"/>
      <c r="P13" s="7"/>
      <c r="Q13" s="7"/>
      <c r="R13" s="7"/>
      <c r="S13" s="6"/>
      <c r="T13" s="6"/>
    </row>
    <row r="14" spans="3:20" x14ac:dyDescent="0.3">
      <c r="C14" s="8"/>
      <c r="D14" s="7"/>
      <c r="E14" s="6"/>
      <c r="F14" s="6"/>
      <c r="G14" s="7"/>
      <c r="H14" s="7"/>
      <c r="I14" s="7"/>
      <c r="J14" s="7"/>
      <c r="K14" s="7"/>
      <c r="L14" s="6"/>
      <c r="M14" s="6"/>
      <c r="N14" s="7"/>
      <c r="O14" s="7"/>
      <c r="P14" s="7"/>
      <c r="Q14" s="7"/>
      <c r="R14" s="7"/>
      <c r="S14" s="6"/>
      <c r="T14" s="6"/>
    </row>
    <row r="15" spans="3:20" x14ac:dyDescent="0.3">
      <c r="C15" s="8"/>
      <c r="D15" s="7"/>
      <c r="E15" s="6"/>
      <c r="F15" s="6"/>
      <c r="G15" s="7"/>
      <c r="H15" s="7"/>
      <c r="I15" s="7"/>
      <c r="J15" s="7"/>
      <c r="K15" s="7"/>
      <c r="L15" s="6"/>
      <c r="M15" s="6"/>
      <c r="N15" s="7"/>
      <c r="O15" s="7"/>
      <c r="P15" s="7"/>
      <c r="Q15" s="7"/>
      <c r="R15" s="7"/>
      <c r="S15" s="6"/>
      <c r="T15" s="6"/>
    </row>
    <row r="16" spans="3:20" x14ac:dyDescent="0.3">
      <c r="C16" s="8"/>
      <c r="D16" s="7"/>
      <c r="E16" s="6"/>
      <c r="F16" s="6"/>
      <c r="G16" s="7"/>
      <c r="H16" s="7"/>
      <c r="I16" s="7"/>
      <c r="J16" s="7"/>
      <c r="K16" s="7"/>
      <c r="L16" s="6"/>
      <c r="M16" s="6"/>
      <c r="N16" s="7"/>
      <c r="O16" s="7"/>
      <c r="P16" s="7"/>
      <c r="Q16" s="7"/>
      <c r="R16" s="7"/>
      <c r="S16" s="6"/>
      <c r="T1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Pursglove</dc:creator>
  <cp:lastModifiedBy>Ashley Pursglove</cp:lastModifiedBy>
  <dcterms:created xsi:type="dcterms:W3CDTF">2025-11-16T10:37:36Z</dcterms:created>
  <dcterms:modified xsi:type="dcterms:W3CDTF">2025-12-05T13:21:52Z</dcterms:modified>
</cp:coreProperties>
</file>